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crismh/"/>
    </mc:Choice>
  </mc:AlternateContent>
  <xr:revisionPtr revIDLastSave="0" documentId="8_{CEFD8535-D98E-E542-B8BE-04508D8E5EF0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Thrust-to-Weigh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8" i="1" l="1"/>
  <c r="C28" i="1" s="1"/>
  <c r="D28" i="1" s="1"/>
  <c r="C27" i="1"/>
  <c r="D27" i="1" s="1"/>
  <c r="B27" i="1"/>
  <c r="B26" i="1"/>
  <c r="C26" i="1" s="1"/>
  <c r="D26" i="1" s="1"/>
  <c r="B25" i="1"/>
  <c r="C25" i="1" s="1"/>
  <c r="D25" i="1" s="1"/>
  <c r="B24" i="1"/>
  <c r="C24" i="1" s="1"/>
  <c r="D24" i="1" s="1"/>
  <c r="B23" i="1"/>
  <c r="C23" i="1" s="1"/>
  <c r="D23" i="1" s="1"/>
  <c r="C22" i="1"/>
  <c r="D22" i="1" s="1"/>
  <c r="B22" i="1"/>
  <c r="B21" i="1"/>
  <c r="C21" i="1" s="1"/>
  <c r="D21" i="1" s="1"/>
  <c r="D20" i="1"/>
  <c r="C20" i="1"/>
  <c r="B20" i="1"/>
  <c r="B19" i="1"/>
  <c r="C19" i="1" s="1"/>
  <c r="D19" i="1" s="1"/>
  <c r="B18" i="1"/>
  <c r="C18" i="1" s="1"/>
  <c r="D18" i="1" s="1"/>
  <c r="B12" i="1"/>
  <c r="B13" i="1" s="1"/>
  <c r="B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9" authorId="0" shapeId="0" xr:uid="{00000000-0006-0000-0000-000001000000}">
      <text>
        <r>
          <rPr>
            <sz val="10"/>
            <color rgb="FF000000"/>
            <rFont val="Arial"/>
            <family val="2"/>
          </rPr>
          <t>Edit this cell to test a different total loaded mass. All results below recalculate automatically.</t>
        </r>
      </text>
    </comment>
  </commentList>
</comments>
</file>

<file path=xl/sharedStrings.xml><?xml version="1.0" encoding="utf-8"?>
<sst xmlns="http://schemas.openxmlformats.org/spreadsheetml/2006/main" count="18" uniqueCount="17">
  <si>
    <t>Inputs</t>
  </si>
  <si>
    <t>Average thrust (N)</t>
  </si>
  <si>
    <t>Peak thrust (N)</t>
  </si>
  <si>
    <t>Gravity, g (m/s²)</t>
  </si>
  <si>
    <t>Required T/W ratio</t>
  </si>
  <si>
    <t>Rocket total mass (kg)</t>
  </si>
  <si>
    <t>Results (current mass)</t>
  </si>
  <si>
    <t>Weight (N)</t>
  </si>
  <si>
    <t>Thrust-to-weight ratio (avg)</t>
  </si>
  <si>
    <t>Meets requirement?</t>
  </si>
  <si>
    <t>Sensitivity: T/W ratio across mass range</t>
  </si>
  <si>
    <t>Mass (g)</t>
  </si>
  <si>
    <t>T/W ratio (avg thrust)</t>
  </si>
  <si>
    <t>Meets 5:1?</t>
  </si>
  <si>
    <t>Note: current loaded mass in the BOD baseline is 977g (see Basis of Design, Sec. 5).</t>
  </si>
  <si>
    <t xml:space="preserve">Motor: AeroTech G61W  |  Source: ThrustCurve.org </t>
  </si>
  <si>
    <t>TVR-1: Thrust-to-Weight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</si>
</sst>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&quot;:1&quot;"/>
  </numFmts>
  <fonts count="6" x14ac:knownFonts="1">
    <font>
      <sz val="11"/>
      <color theme="1"/>
      <name val="Calibri"/>
      <family val="2"/>
      <charset val="1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 applyFill="1"/>
    <xf numFmtId="0" fontId="1" fillId="0" borderId="0" xfId="0" applyFont="1" applyFill="1"/>
    <xf numFmtId="0" fontId="2" fillId="0" borderId="0" xfId="0" applyFont="1" applyFill="1"/>
    <xf numFmtId="0" fontId="4" fillId="0" borderId="1" xfId="0" applyFont="1" applyFill="1" applyBorder="1"/>
    <xf numFmtId="0" fontId="3" fillId="0" borderId="2" xfId="0" applyFont="1" applyFill="1" applyBorder="1"/>
    <xf numFmtId="0" fontId="4" fillId="0" borderId="2" xfId="0" applyFont="1" applyFill="1" applyBorder="1"/>
    <xf numFmtId="164" fontId="4" fillId="2" borderId="2" xfId="0" applyNumberFormat="1" applyFont="1" applyFill="1" applyBorder="1"/>
    <xf numFmtId="2" fontId="4" fillId="2" borderId="2" xfId="0" applyNumberFormat="1" applyFont="1" applyFill="1" applyBorder="1"/>
    <xf numFmtId="2" fontId="4" fillId="0" borderId="2" xfId="0" applyNumberFormat="1" applyFont="1" applyFill="1" applyBorder="1"/>
    <xf numFmtId="165" fontId="4" fillId="0" borderId="2" xfId="0" applyNumberFormat="1" applyFont="1" applyFill="1" applyBorder="1"/>
    <xf numFmtId="0" fontId="3" fillId="0" borderId="2" xfId="0" applyFont="1" applyFill="1" applyBorder="1"/>
    <xf numFmtId="1" fontId="4" fillId="0" borderId="2" xfId="0" applyNumberFormat="1" applyFont="1" applyFill="1" applyBorder="1"/>
    <xf numFmtId="0" fontId="4" fillId="0" borderId="3" xfId="0" applyFont="1" applyFill="1" applyBorder="1"/>
    <xf numFmtId="0" fontId="4" fillId="0" borderId="0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1D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zoomScaleNormal="100" workbookViewId="0">
      <selection activeCell="F15" sqref="F15"/>
    </sheetView>
  </sheetViews>
  <sheetFormatPr baseColWidth="10" defaultColWidth="8.6640625" defaultRowHeight="15" x14ac:dyDescent="0.2"/>
  <cols>
    <col min="1" max="1" width="30" customWidth="1"/>
    <col min="2" max="2" width="18" customWidth="1"/>
    <col min="3" max="3" width="22" customWidth="1"/>
    <col min="4" max="4" width="16" customWidth="1"/>
  </cols>
  <sheetData>
    <row r="1" spans="1:4" ht="18" x14ac:dyDescent="0.2">
      <c r="A1" s="2" t="s">
        <v>16</v>
      </c>
      <c r="B1" s="2"/>
      <c r="C1" s="2"/>
      <c r="D1" s="2"/>
    </row>
    <row r="2" spans="1:4" x14ac:dyDescent="0.2">
      <c r="A2" s="3" t="s">
        <v>15</v>
      </c>
      <c r="B2" s="3"/>
      <c r="C2" s="3"/>
      <c r="D2" s="3"/>
    </row>
    <row r="3" spans="1:4" x14ac:dyDescent="0.2">
      <c r="A3" s="1"/>
      <c r="B3" s="1"/>
      <c r="C3" s="1"/>
      <c r="D3" s="1"/>
    </row>
    <row r="4" spans="1:4" x14ac:dyDescent="0.2">
      <c r="A4" s="5" t="s">
        <v>0</v>
      </c>
      <c r="B4" s="5"/>
      <c r="C4" s="14"/>
      <c r="D4" s="14"/>
    </row>
    <row r="5" spans="1:4" x14ac:dyDescent="0.2">
      <c r="A5" s="6" t="s">
        <v>1</v>
      </c>
      <c r="B5" s="7">
        <v>61</v>
      </c>
      <c r="C5" s="15"/>
      <c r="D5" s="15"/>
    </row>
    <row r="6" spans="1:4" x14ac:dyDescent="0.2">
      <c r="A6" s="6" t="s">
        <v>2</v>
      </c>
      <c r="B6" s="7">
        <v>63.2</v>
      </c>
      <c r="C6" s="15"/>
      <c r="D6" s="15"/>
    </row>
    <row r="7" spans="1:4" x14ac:dyDescent="0.2">
      <c r="A7" s="6" t="s">
        <v>3</v>
      </c>
      <c r="B7" s="8">
        <v>9.81</v>
      </c>
      <c r="C7" s="15"/>
      <c r="D7" s="15"/>
    </row>
    <row r="8" spans="1:4" x14ac:dyDescent="0.2">
      <c r="A8" s="6" t="s">
        <v>4</v>
      </c>
      <c r="B8" s="7">
        <v>5</v>
      </c>
      <c r="C8" s="15"/>
      <c r="D8" s="15"/>
    </row>
    <row r="9" spans="1:4" x14ac:dyDescent="0.2">
      <c r="A9" s="6" t="s">
        <v>5</v>
      </c>
      <c r="B9" s="8">
        <v>0.8</v>
      </c>
      <c r="C9" s="15"/>
      <c r="D9" s="15"/>
    </row>
    <row r="10" spans="1:4" x14ac:dyDescent="0.2">
      <c r="A10" s="1"/>
      <c r="B10" s="1"/>
      <c r="C10" s="1"/>
      <c r="D10" s="1"/>
    </row>
    <row r="11" spans="1:4" x14ac:dyDescent="0.2">
      <c r="A11" s="5" t="s">
        <v>6</v>
      </c>
      <c r="B11" s="5"/>
      <c r="C11" s="13"/>
      <c r="D11" s="4"/>
    </row>
    <row r="12" spans="1:4" x14ac:dyDescent="0.2">
      <c r="A12" s="6" t="s">
        <v>7</v>
      </c>
      <c r="B12" s="9">
        <f>B9*B7</f>
        <v>7.8480000000000008</v>
      </c>
      <c r="C12" s="1"/>
      <c r="D12" s="1"/>
    </row>
    <row r="13" spans="1:4" x14ac:dyDescent="0.2">
      <c r="A13" s="6" t="s">
        <v>8</v>
      </c>
      <c r="B13" s="10">
        <f>B5/B12</f>
        <v>7.772680937818552</v>
      </c>
      <c r="C13" s="1"/>
      <c r="D13" s="1"/>
    </row>
    <row r="14" spans="1:4" x14ac:dyDescent="0.2">
      <c r="A14" s="6" t="s">
        <v>9</v>
      </c>
      <c r="B14" s="11" t="str">
        <f>IF(B13&gt;=B8,"PASS — clears "&amp;TEXT(B8,"0")&amp;":1","FAIL — below "&amp;TEXT(B8,"0")&amp;":1")</f>
        <v>PASS — clears 5:1</v>
      </c>
      <c r="C14" s="1"/>
      <c r="D14" s="1"/>
    </row>
    <row r="15" spans="1:4" x14ac:dyDescent="0.2">
      <c r="A15" s="1"/>
      <c r="B15" s="1"/>
      <c r="C15" s="1"/>
      <c r="D15" s="1"/>
    </row>
    <row r="16" spans="1:4" x14ac:dyDescent="0.2">
      <c r="A16" s="5" t="s">
        <v>10</v>
      </c>
      <c r="B16" s="5"/>
      <c r="C16" s="5"/>
      <c r="D16" s="5"/>
    </row>
    <row r="17" spans="1:4" x14ac:dyDescent="0.2">
      <c r="A17" s="11" t="s">
        <v>11</v>
      </c>
      <c r="B17" s="11" t="s">
        <v>7</v>
      </c>
      <c r="C17" s="11" t="s">
        <v>12</v>
      </c>
      <c r="D17" s="11" t="s">
        <v>13</v>
      </c>
    </row>
    <row r="18" spans="1:4" x14ac:dyDescent="0.2">
      <c r="A18" s="12">
        <v>500</v>
      </c>
      <c r="B18" s="9">
        <f>(A18/1000)*B7</f>
        <v>4.9050000000000002</v>
      </c>
      <c r="C18" s="10">
        <f>B5/B18</f>
        <v>12.436289500509684</v>
      </c>
      <c r="D18" s="6" t="str">
        <f>IF(C18&gt;=B8,"Yes","No")</f>
        <v>Yes</v>
      </c>
    </row>
    <row r="19" spans="1:4" x14ac:dyDescent="0.2">
      <c r="A19" s="12">
        <v>550</v>
      </c>
      <c r="B19" s="9">
        <f>(A19/1000)*B7</f>
        <v>5.3955000000000011</v>
      </c>
      <c r="C19" s="10">
        <f>B5/B19</f>
        <v>11.305717727736074</v>
      </c>
      <c r="D19" s="6" t="str">
        <f>IF(C19&gt;=B8,"Yes","No")</f>
        <v>Yes</v>
      </c>
    </row>
    <row r="20" spans="1:4" x14ac:dyDescent="0.2">
      <c r="A20" s="12">
        <v>600</v>
      </c>
      <c r="B20" s="9">
        <f>(A20/1000)*B7</f>
        <v>5.8860000000000001</v>
      </c>
      <c r="C20" s="10">
        <f>B5/B20</f>
        <v>10.363574583758069</v>
      </c>
      <c r="D20" s="6" t="str">
        <f>IF(C20&gt;=B8,"Yes","No")</f>
        <v>Yes</v>
      </c>
    </row>
    <row r="21" spans="1:4" x14ac:dyDescent="0.2">
      <c r="A21" s="12">
        <v>650</v>
      </c>
      <c r="B21" s="9">
        <f>(A21/1000)*B7</f>
        <v>6.3765000000000009</v>
      </c>
      <c r="C21" s="10">
        <f>B5/B21</f>
        <v>9.5663765388536017</v>
      </c>
      <c r="D21" s="6" t="str">
        <f>IF(C21&gt;=B8,"Yes","No")</f>
        <v>Yes</v>
      </c>
    </row>
    <row r="22" spans="1:4" x14ac:dyDescent="0.2">
      <c r="A22" s="12">
        <v>700</v>
      </c>
      <c r="B22" s="9">
        <f>(A22/1000)*B7</f>
        <v>6.867</v>
      </c>
      <c r="C22" s="10">
        <f>B5/B22</f>
        <v>8.8830639289354885</v>
      </c>
      <c r="D22" s="6" t="str">
        <f>IF(C22&gt;=B8,"Yes","No")</f>
        <v>Yes</v>
      </c>
    </row>
    <row r="23" spans="1:4" x14ac:dyDescent="0.2">
      <c r="A23" s="12">
        <v>750</v>
      </c>
      <c r="B23" s="9">
        <f>(A23/1000)*B7</f>
        <v>7.3574999999999999</v>
      </c>
      <c r="C23" s="10">
        <f>B5/B23</f>
        <v>8.2908596670064565</v>
      </c>
      <c r="D23" s="6" t="str">
        <f>IF(C23&gt;=B8,"Yes","No")</f>
        <v>Yes</v>
      </c>
    </row>
    <row r="24" spans="1:4" x14ac:dyDescent="0.2">
      <c r="A24" s="12">
        <v>800</v>
      </c>
      <c r="B24" s="9">
        <f>(A24/1000)*B7</f>
        <v>7.8480000000000008</v>
      </c>
      <c r="C24" s="10">
        <f>B5/B24</f>
        <v>7.772680937818552</v>
      </c>
      <c r="D24" s="6" t="str">
        <f>IF(C24&gt;=B8,"Yes","No")</f>
        <v>Yes</v>
      </c>
    </row>
    <row r="25" spans="1:4" x14ac:dyDescent="0.2">
      <c r="A25" s="12">
        <v>850</v>
      </c>
      <c r="B25" s="9">
        <f>(A25/1000)*B7</f>
        <v>8.3384999999999998</v>
      </c>
      <c r="C25" s="10">
        <f>B5/B25</f>
        <v>7.3154644120645198</v>
      </c>
      <c r="D25" s="6" t="str">
        <f>IF(C25&gt;=B8,"Yes","No")</f>
        <v>Yes</v>
      </c>
    </row>
    <row r="26" spans="1:4" x14ac:dyDescent="0.2">
      <c r="A26" s="12">
        <v>900</v>
      </c>
      <c r="B26" s="9">
        <f>(A26/1000)*B7</f>
        <v>8.8290000000000006</v>
      </c>
      <c r="C26" s="10">
        <f>B5/B26</f>
        <v>6.9090497225053795</v>
      </c>
      <c r="D26" s="6" t="str">
        <f>IF(C26&gt;=B8,"Yes","No")</f>
        <v>Yes</v>
      </c>
    </row>
    <row r="27" spans="1:4" x14ac:dyDescent="0.2">
      <c r="A27" s="12">
        <v>950</v>
      </c>
      <c r="B27" s="9">
        <f>(A27/1000)*B7</f>
        <v>9.3194999999999997</v>
      </c>
      <c r="C27" s="10">
        <f>B5/B27</f>
        <v>6.5454155265840441</v>
      </c>
      <c r="D27" s="6" t="str">
        <f>IF(C27&gt;=B8,"Yes","No")</f>
        <v>Yes</v>
      </c>
    </row>
    <row r="28" spans="1:4" x14ac:dyDescent="0.2">
      <c r="A28" s="12">
        <v>1000</v>
      </c>
      <c r="B28" s="9">
        <f>(A28/1000)*B7</f>
        <v>9.81</v>
      </c>
      <c r="C28" s="10">
        <f>B5/B28</f>
        <v>6.2181447502548419</v>
      </c>
      <c r="D28" s="6" t="str">
        <f>IF(C28&gt;=B8,"Yes","No")</f>
        <v>Yes</v>
      </c>
    </row>
    <row r="29" spans="1:4" x14ac:dyDescent="0.2">
      <c r="A29" s="1"/>
      <c r="B29" s="1"/>
      <c r="C29" s="1"/>
      <c r="D29" s="1"/>
    </row>
    <row r="30" spans="1:4" x14ac:dyDescent="0.2">
      <c r="A30" s="3" t="s">
        <v>14</v>
      </c>
      <c r="B30" s="3"/>
      <c r="C30" s="3"/>
      <c r="D30" s="3"/>
    </row>
  </sheetData>
  <mergeCells count="6">
    <mergeCell ref="A30:D30"/>
    <mergeCell ref="A1:D1"/>
    <mergeCell ref="A2:D2"/>
    <mergeCell ref="A4:B4"/>
    <mergeCell ref="A11:B11"/>
    <mergeCell ref="A16:D1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Thrust-to-Weight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Cris R Martinez Hernandez</cp:lastModifiedBy>
  <cp:revision>0</cp:revision>
  <dcterms:created xsi:type="dcterms:W3CDTF">2026-09-04T22:55:43Z</dcterms:created>
  <dcterms:modified xsi:type="dcterms:W3CDTF">2026-09-04T23:00:15Z</dcterms:modified>
  <dc:language>en-US</dc:language>
</cp:coreProperties>
</file>